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42ffa7948f4c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b822cbb1cf45b3"/>
    <x:sheet xmlns:r="http://schemas.openxmlformats.org/officeDocument/2006/relationships" name="Roadmap" sheetId="2" r:id="Rf55aa9c771fd4e00"/>
    <x:sheet xmlns:r="http://schemas.openxmlformats.org/officeDocument/2006/relationships" name="Release Plan" sheetId="3" r:id="R3bc6e2a7323f4f4a"/>
    <x:sheet xmlns:r="http://schemas.openxmlformats.org/officeDocument/2006/relationships" name="Acceptance Matrix" sheetId="4" r:id="R92bb55e698794ca1"/>
    <x:sheet xmlns:r="http://schemas.openxmlformats.org/officeDocument/2006/relationships" name="Risks &amp; Decisions" sheetId="5" r:id="R36112f6dc47a490d"/>
    <x:sheet xmlns:r="http://schemas.openxmlformats.org/officeDocument/2006/relationships" name="Definitions" sheetId="6" r:id="Rb8ffbda3017347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b/>
      <x:sz val="14"/>
      <x:color rgb="FF111827"/>
      <x:name val="Carlito"/>
    </x:font>
    <x:font>
      <x:b/>
      <x:sz val="11"/>
      <x:color rgb="FF11182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5F3F0"/>
      </x:patternFill>
    </x:fill>
    <x:fill>
      <x:patternFill patternType="solid">
        <x:fgColor rgb="FFF3F4F6"/>
      </x:patternFill>
    </x:fill>
  </x:fills>
  <x:borders count="16">
    <x:border/>
    <x:border>
      <x:left style="thin">
        <x:color rgb="FF9CA3AF"/>
      </x:left>
      <x:top style="thin">
        <x:color rgb="FF9CA3AF"/>
      </x:top>
      <x:bottom style="thin">
        <x:color rgb="FF9CA3AF"/>
      </x:bottom>
    </x:border>
    <x:border>
      <x:top style="thin">
        <x:color rgb="FF9CA3AF"/>
      </x:top>
      <x:bottom style="thin">
        <x:color rgb="FF9CA3AF"/>
      </x:bottom>
    </x:border>
    <x:border>
      <x:right style="thin">
        <x:color rgb="FF9CA3AF"/>
      </x:right>
      <x:top style="thin">
        <x:color rgb="FF9CA3AF"/>
      </x:top>
      <x:bottom style="thin">
        <x:color rgb="FF9CA3AF"/>
      </x:bottom>
    </x:border>
    <x:border>
      <x:right style="thin">
        <x:color rgb="FFD1D5DB"/>
      </x:right>
    </x:border>
    <x:border>
      <x:left style="thin">
        <x:color rgb="FFD1D5DB"/>
      </x:left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/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1" fontId="0" fillId="0" borderId="11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201" fontId="0" fillId="0" borderId="14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1440e5ef1a4520" /><Relationship Type="http://schemas.openxmlformats.org/officeDocument/2006/relationships/theme" Target="/xl/theme/theme1.xml" Id="R67bbfe64a0f84adc" /><Relationship Type="http://schemas.openxmlformats.org/officeDocument/2006/relationships/sharedStrings" Target="/xl/sharedStrings.xml" Id="Rbc9532fa7f7a4c56" /><Relationship Type="http://schemas.openxmlformats.org/officeDocument/2006/relationships/worksheet" Target="/xl/worksheets/sheet1.xml" Id="R1fb822cbb1cf45b3" /><Relationship Type="http://schemas.openxmlformats.org/officeDocument/2006/relationships/worksheet" Target="/xl/worksheets/sheet2.xml" Id="Rf55aa9c771fd4e00" /><Relationship Type="http://schemas.openxmlformats.org/officeDocument/2006/relationships/worksheet" Target="/xl/worksheets/sheet3.xml" Id="R3bc6e2a7323f4f4a" /><Relationship Type="http://schemas.openxmlformats.org/officeDocument/2006/relationships/worksheet" Target="/xl/worksheets/sheet4.xml" Id="R92bb55e698794ca1" /><Relationship Type="http://schemas.openxmlformats.org/officeDocument/2006/relationships/worksheet" Target="/xl/worksheets/sheet5.xml" Id="R36112f6dc47a490d" /><Relationship Type="http://schemas.openxmlformats.org/officeDocument/2006/relationships/worksheet" Target="/xl/worksheets/sheet6.xml" Id="Rb8ffbda30173470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18" hidden="0" customWidth="1"/>
    <x:col min="4" max="4" width="16" hidden="0" customWidth="1"/>
    <x:col min="5" max="5" width="18" hidden="0" customWidth="1"/>
    <x:col min="6" max="6" width="16" hidden="0" customWidth="1"/>
  </x:cols>
  <x:sheetData>
    <x:row r="1">
      <x:c r="A1" s="3" t="str">
        <x:v>Ryu Internal Product Roadmap Example</x:v>
      </x:c>
      <x:c r="B1" s="4"/>
      <x:c r="C1" s="4"/>
      <x:c r="D1" s="4"/>
      <x:c r="E1" s="4"/>
      <x:c r="F1" s="5"/>
    </x:row>
    <x:row r="3">
      <x:c r="A3" s="10" t="str">
        <x:v>Metric</x:v>
      </x:c>
      <x:c r="B3" s="11" t="str">
        <x:v>Value</x:v>
      </x:c>
    </x:row>
    <x:row r="4">
      <x:c r="A4" s="18" t="str">
        <x:v>Total roadmap items</x:v>
      </x:c>
      <x:c r="B4" s="32" t="n">
        <x:f>COUNTA(Roadmap!A2:A200)</x:f>
        <x:v>12</x:v>
      </x:c>
    </x:row>
    <x:row r="5">
      <x:c r="A5" s="20" t="str">
        <x:v>P0 items</x:v>
      </x:c>
      <x:c r="B5" s="33" t="n">
        <x:f>COUNTIF(Roadmap!E2:E200,"P0")</x:f>
        <x:v>6</x:v>
      </x:c>
    </x:row>
    <x:row r="6">
      <x:c r="A6" s="20" t="str">
        <x:v>Ready or in progress</x:v>
      </x:c>
      <x:c r="B6" s="33" t="n">
        <x:f>COUNTIF(Roadmap!F2:F200,"Ready")+COUNTIF(Roadmap!F2:F200,"In Progress")</x:f>
        <x:v>5</x:v>
      </x:c>
    </x:row>
    <x:row r="7">
      <x:c r="A7" s="20" t="str">
        <x:v>Blocked items</x:v>
      </x:c>
      <x:c r="B7" s="33" t="n">
        <x:f>COUNTIF(Roadmap!F2:F200,"Blocked")</x:f>
        <x:v>0</x:v>
      </x:c>
    </x:row>
    <x:row r="8">
      <x:c r="A8" s="20" t="str">
        <x:v>Launch-targeted items</x:v>
      </x:c>
      <x:c r="B8" s="33" t="n">
        <x:f>COUNTIF(Roadmap!N2:N200,"Launched")</x:f>
        <x:v>1</x:v>
      </x:c>
    </x:row>
    <x:row r="9">
      <x:c r="A9" s="20" t="str">
        <x:v>Next release</x:v>
      </x:c>
      <x:c r="B9" s="21" t="str">
        <x:v>Release 1</x:v>
      </x:c>
    </x:row>
    <x:row r="10">
      <x:c r="A10" s="20" t="str">
        <x:v>Roadmap owner</x:v>
      </x:c>
      <x:c r="B10" s="21" t="str">
        <x:v>Product</x:v>
      </x:c>
    </x:row>
    <x:row r="11">
      <x:c r="A11" s="22" t="str">
        <x:v>Last refreshed</x:v>
      </x:c>
      <x:c r="B11" s="34" t="n">
        <x:v>46254</x:v>
      </x:c>
    </x:row>
    <x:row r="13">
      <x:c r="A13" s="10" t="str">
        <x:v>Release</x:v>
      </x:c>
      <x:c r="B13" s="25" t="str">
        <x:v>Items</x:v>
      </x:c>
      <x:c r="C13" s="25" t="str">
        <x:v>Not Started</x:v>
      </x:c>
      <x:c r="D13" s="25" t="str">
        <x:v>Ready</x:v>
      </x:c>
      <x:c r="E13" s="25" t="str">
        <x:v>In Progress</x:v>
      </x:c>
      <x:c r="F13" s="11" t="str">
        <x:v>Done</x:v>
      </x:c>
    </x:row>
    <x:row r="14">
      <x:c r="A14" s="18" t="str">
        <x:v>Release 1</x:v>
      </x:c>
      <x:c r="B14" s="29" t="n">
        <x:f>COUNTIF(Roadmap!B$2:B$200,A14)</x:f>
        <x:v>4</x:v>
      </x:c>
      <x:c r="C14" s="29" t="n">
        <x:f>COUNTIFS(Roadmap!B$2:B$200,A14,Roadmap!F$2:F$200,"Not Started")</x:f>
        <x:v>2</x:v>
      </x:c>
      <x:c r="D14" s="29" t="n">
        <x:f>COUNTIFS(Roadmap!B$2:B$200,A14,Roadmap!F$2:F$200,"Ready")</x:f>
        <x:v>2</x:v>
      </x:c>
      <x:c r="E14" s="29" t="n">
        <x:f>COUNTIFS(Roadmap!B$2:B$200,A14,Roadmap!F$2:F$200,"In Progress")</x:f>
        <x:v>0</x:v>
      </x:c>
      <x:c r="F14" s="19" t="n">
        <x:f>COUNTIFS(Roadmap!B$2:B$200,A14,Roadmap!F$2:F$200,"Done")</x:f>
        <x:v>0</x:v>
      </x:c>
    </x:row>
    <x:row r="15">
      <x:c r="A15" s="20" t="str">
        <x:v>Release 2</x:v>
      </x:c>
      <x:c r="B15" s="30" t="n">
        <x:f>COUNTIF(Roadmap!B$2:B$200,A15)</x:f>
        <x:v>4</x:v>
      </x:c>
      <x:c r="C15" s="30" t="n">
        <x:f>COUNTIFS(Roadmap!B$2:B$200,A15,Roadmap!F$2:F$200,"Not Started")</x:f>
        <x:v>2</x:v>
      </x:c>
      <x:c r="D15" s="30" t="n">
        <x:f>COUNTIFS(Roadmap!B$2:B$200,A15,Roadmap!F$2:F$200,"Ready")</x:f>
        <x:v>1</x:v>
      </x:c>
      <x:c r="E15" s="30" t="n">
        <x:f>COUNTIFS(Roadmap!B$2:B$200,A15,Roadmap!F$2:F$200,"In Progress")</x:f>
        <x:v>1</x:v>
      </x:c>
      <x:c r="F15" s="21" t="n">
        <x:f>COUNTIFS(Roadmap!B$2:B$200,A15,Roadmap!F$2:F$200,"Done")</x:f>
        <x:v>0</x:v>
      </x:c>
    </x:row>
    <x:row r="16">
      <x:c r="A16" s="22" t="str">
        <x:v>Release 3</x:v>
      </x:c>
      <x:c r="B16" s="31" t="n">
        <x:f>COUNTIF(Roadmap!B$2:B$200,A16)</x:f>
        <x:v>4</x:v>
      </x:c>
      <x:c r="C16" s="31" t="n">
        <x:f>COUNTIFS(Roadmap!B$2:B$200,A16,Roadmap!F$2:F$200,"Not Started")</x:f>
        <x:v>3</x:v>
      </x:c>
      <x:c r="D16" s="31" t="n">
        <x:f>COUNTIFS(Roadmap!B$2:B$200,A16,Roadmap!F$2:F$200,"Ready")</x:f>
        <x:v>1</x:v>
      </x:c>
      <x:c r="E16" s="31" t="n">
        <x:f>COUNTIFS(Roadmap!B$2:B$200,A16,Roadmap!F$2:F$200,"In Progress")</x:f>
        <x:v>0</x:v>
      </x:c>
      <x:c r="F16" s="23" t="n">
        <x:f>COUNTIFS(Roadmap!B$2:B$200,A16,Roadmap!F$2:F$200,"Done")</x:f>
        <x:v>0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28" hidden="0" customWidth="1"/>
    <x:col min="4" max="4" width="36" hidden="0" customWidth="1"/>
    <x:col min="5" max="5" width="10" hidden="0" customWidth="1"/>
    <x:col min="6" max="6" width="16" hidden="0" customWidth="1"/>
    <x:col min="7" max="7" width="18" hidden="0" customWidth="1"/>
    <x:col min="8" max="8" width="14" hidden="0" customWidth="1"/>
    <x:col min="9" max="9" width="14" hidden="0" customWidth="1"/>
    <x:col min="10" max="10" width="10" hidden="0" customWidth="1"/>
    <x:col min="11" max="11" width="24" hidden="0" customWidth="1"/>
    <x:col min="12" max="12" width="54" hidden="0" customWidth="1"/>
    <x:col min="13" max="13" width="54" hidden="0" customWidth="1"/>
    <x:col min="14" max="14" width="18" hidden="0" customWidth="1"/>
    <x:col min="15" max="15" width="42" hidden="0" customWidth="1"/>
  </x:cols>
  <x:sheetData>
    <x:row r="1">
      <x:c r="A1" s="10" t="str">
        <x:v>ID</x:v>
      </x:c>
      <x:c r="B1" s="25" t="str">
        <x:v>Release</x:v>
      </x:c>
      <x:c r="C1" s="25" t="str">
        <x:v>Feature</x:v>
      </x:c>
      <x:c r="D1" s="25" t="str">
        <x:v>Outcome</x:v>
      </x:c>
      <x:c r="E1" s="25" t="str">
        <x:v>Priority</x:v>
      </x:c>
      <x:c r="F1" s="25" t="str">
        <x:v>Status</x:v>
      </x:c>
      <x:c r="G1" s="25" t="str">
        <x:v>Owner</x:v>
      </x:c>
      <x:c r="H1" s="25" t="str">
        <x:v>Start</x:v>
      </x:c>
      <x:c r="I1" s="25" t="str">
        <x:v>Target</x:v>
      </x:c>
      <x:c r="J1" s="25" t="str">
        <x:v>Effort</x:v>
      </x:c>
      <x:c r="K1" s="25" t="str">
        <x:v>Dependencies</x:v>
      </x:c>
      <x:c r="L1" s="25" t="str">
        <x:v>Scope of Work</x:v>
      </x:c>
      <x:c r="M1" s="25" t="str">
        <x:v>Acceptance Criteria</x:v>
      </x:c>
      <x:c r="N1" s="25" t="str">
        <x:v>Launch Gate</x:v>
      </x:c>
      <x:c r="O1" s="11" t="str">
        <x:v>Notes</x:v>
      </x:c>
    </x:row>
    <x:row r="2" ht="56" customHeight="1">
      <x:c r="A2" s="18" t="str">
        <x:v>R1-F01</x:v>
      </x:c>
      <x:c r="B2" s="29" t="str">
        <x:v>Release 1</x:v>
      </x:c>
      <x:c r="C2" s="29" t="str">
        <x:v>Record backlog triage</x:v>
      </x:c>
      <x:c r="D2" s="29" t="str">
        <x:v>Define the near-term record set and review order.</x:v>
      </x:c>
      <x:c r="E2" s="29" t="str">
        <x:v>P0</x:v>
      </x:c>
      <x:c r="F2" s="29" t="str">
        <x:v>Ready</x:v>
      </x:c>
      <x:c r="G2" s="29" t="str">
        <x:v>Product</x:v>
      </x:c>
      <x:c r="H2" s="35" t="n">
        <x:v>46258</x:v>
      </x:c>
      <x:c r="I2" s="35" t="n">
        <x:v>46262</x:v>
      </x:c>
      <x:c r="J2" s="29" t="str">
        <x:v>S</x:v>
      </x:c>
      <x:c r="K2" s="29" t="str">
        <x:v>Existing Ryu DB</x:v>
      </x:c>
      <x:c r="L2" s="29" t="str">
        <x:v>Inventory current nodes, classify target systems, assign review depth, and agree on what must be rich versus thin.</x:v>
      </x:c>
      <x:c r="M2" s="29" t="str">
        <x:v>Priority list is approved, each selected record has an owner and target review state, and deferred records are explicitly marked.</x:v>
      </x:c>
      <x:c r="N2" s="29" t="str">
        <x:v>Spec Approved</x:v>
      </x:c>
      <x:c r="O2" s="19" t="str">
        <x:v>Use this as the intake gate for content work.</x:v>
      </x:c>
    </x:row>
    <x:row r="3" ht="56" customHeight="1">
      <x:c r="A3" s="20" t="str">
        <x:v>R1-F02</x:v>
      </x:c>
      <x:c r="B3" s="30" t="str">
        <x:v>Release 1</x:v>
      </x:c>
      <x:c r="C3" s="30" t="str">
        <x:v>Rich record backfill</x:v>
      </x:c>
      <x:c r="D3" s="30" t="str">
        <x:v>Move selected priority systems from thin to rich records.</x:v>
      </x:c>
      <x:c r="E3" s="30" t="str">
        <x:v>P0</x:v>
      </x:c>
      <x:c r="F3" s="30" t="str">
        <x:v>Not Started</x:v>
      </x:c>
      <x:c r="G3" s="30" t="str">
        <x:v>Research</x:v>
      </x:c>
      <x:c r="H3" s="36" t="n">
        <x:v>46265</x:v>
      </x:c>
      <x:c r="I3" s="36" t="n">
        <x:v>46276</x:v>
      </x:c>
      <x:c r="J3" s="30" t="str">
        <x:v>L</x:v>
      </x:c>
      <x:c r="K3" s="30" t="str">
        <x:v>R1-F01</x:v>
      </x:c>
      <x:c r="L3" s="30" t="str">
        <x:v>Add summaries, operators, descriptions, source-backed access paths, identifiers, caveats, usage metrics, and review metadata.</x:v>
      </x:c>
      <x:c r="M3" s="30" t="str">
        <x:v>At least six priority systems have source-backed rich records and no unresolved source refs in visible user-facing fields.</x:v>
      </x:c>
      <x:c r="N3" s="30" t="str">
        <x:v>QA Passed</x:v>
      </x:c>
      <x:c r="O3" s="21" t="str">
        <x:v>Good first release demo because it makes Ryu visibly more useful.</x:v>
      </x:c>
    </x:row>
    <x:row r="4" ht="56" customHeight="1">
      <x:c r="A4" s="20" t="str">
        <x:v>R1-F03</x:v>
      </x:c>
      <x:c r="B4" s="30" t="str">
        <x:v>Release 1</x:v>
      </x:c>
      <x:c r="C4" s="30" t="str">
        <x:v>Data record visibility</x:v>
      </x:c>
      <x:c r="D4" s="30" t="str">
        <x:v>Make data descriptors auditable from the UI.</x:v>
      </x:c>
      <x:c r="E4" s="30" t="str">
        <x:v>P1</x:v>
      </x:c>
      <x:c r="F4" s="30" t="str">
        <x:v>Ready</x:v>
      </x:c>
      <x:c r="G4" s="30" t="str">
        <x:v>Frontend</x:v>
      </x:c>
      <x:c r="H4" s="36" t="n">
        <x:v>46267</x:v>
      </x:c>
      <x:c r="I4" s="36" t="n">
        <x:v>46271</x:v>
      </x:c>
      <x:c r="J4" s="30" t="str">
        <x:v>M</x:v>
      </x:c>
      <x:c r="K4" s="30" t="str">
        <x:v>Data descriptors already exist</x:v>
      </x:c>
      <x:c r="L4" s="30" t="str">
        <x:v>Show descriptor IDs, descriptions, categories, and resolved source records from the existing details_json data descriptors.</x:v>
      </x:c>
      <x:c r="M4" s="30" t="str">
        <x:v>Reviewer can verify every visible data type, format, and standard without opening raw fields.</x:v>
      </x:c>
      <x:c r="N4" s="30" t="str">
        <x:v>QA Passed</x:v>
      </x:c>
      <x:c r="O4" s="21" t="str">
        <x:v>Mirrors the current cleanup tracker.</x:v>
      </x:c>
    </x:row>
    <x:row r="5" ht="56" customHeight="1">
      <x:c r="A5" s="20" t="str">
        <x:v>R1-F04</x:v>
      </x:c>
      <x:c r="B5" s="30" t="str">
        <x:v>Release 1</x:v>
      </x:c>
      <x:c r="C5" s="30" t="str">
        <x:v>Review trail surface</x:v>
      </x:c>
      <x:c r="D5" s="30" t="str">
        <x:v>Expose record depth, review history, and timestamps.</x:v>
      </x:c>
      <x:c r="E5" s="30" t="str">
        <x:v>P1</x:v>
      </x:c>
      <x:c r="F5" s="30" t="str">
        <x:v>Not Started</x:v>
      </x:c>
      <x:c r="G5" s="30" t="str">
        <x:v>Frontend</x:v>
      </x:c>
      <x:c r="H5" s="36" t="n">
        <x:v>46269</x:v>
      </x:c>
      <x:c r="I5" s="36" t="n">
        <x:v>46275</x:v>
      </x:c>
      <x:c r="J5" s="30" t="str">
        <x:v>S</x:v>
      </x:c>
      <x:c r="K5" s="30" t="str">
        <x:v>Review metadata</x:v>
      </x:c>
      <x:c r="L5" s="30" t="str">
        <x:v>Add a compact review section for latest agent research, latest human review, created date, and updated date.</x:v>
      </x:c>
      <x:c r="M5" s="30" t="str">
        <x:v>Reviewer can tell whether a record is agent-researched, human-reviewed, stale, or needs revision from User View.</x:v>
      </x:c>
      <x:c r="N5" s="30" t="str">
        <x:v>QA Passed</x:v>
      </x:c>
      <x:c r="O5" s="21" t="str">
        <x:v>Useful for team accountability.</x:v>
      </x:c>
    </x:row>
    <x:row r="6" ht="56" customHeight="1">
      <x:c r="A6" s="20" t="str">
        <x:v>R2-F01</x:v>
      </x:c>
      <x:c r="B6" s="30" t="str">
        <x:v>Release 2</x:v>
      </x:c>
      <x:c r="C6" s="30" t="str">
        <x:v>Tool record archetype</x:v>
      </x:c>
      <x:c r="D6" s="30" t="str">
        <x:v>Define the canonical Ryu route/tool record pattern.</x:v>
      </x:c>
      <x:c r="E6" s="30" t="str">
        <x:v>P0</x:v>
      </x:c>
      <x:c r="F6" s="30" t="str">
        <x:v>Ready</x:v>
      </x:c>
      <x:c r="G6" s="30" t="str">
        <x:v>Product + Backend</x:v>
      </x:c>
      <x:c r="H6" s="36" t="n">
        <x:v>46274</x:v>
      </x:c>
      <x:c r="I6" s="36" t="n">
        <x:v>46278</x:v>
      </x:c>
      <x:c r="J6" s="30" t="str">
        <x:v>M</x:v>
      </x:c>
      <x:c r="K6" s="30" t="str">
        <x:v>Current RyuRoute and RyuPortalRoute types</x:v>
      </x:c>
      <x:c r="L6" s="30" t="str">
        <x:v>Document required fields for route status, mode, priority, capabilities, target, upstream, format, contract ref, auth, caveats, supported tools, and source refs.</x:v>
      </x:c>
      <x:c r="M6" s="30" t="str">
        <x:v>One exemplar route record is complete, documented, source-backed, and accepted as the template for future route records.</x:v>
      </x:c>
      <x:c r="N6" s="30" t="str">
        <x:v>Spec Approved</x:v>
      </x:c>
      <x:c r="O6" s="21" t="str">
        <x:v>Decision: confirm whether 'tool record' means route metadata or a separate entity.</x:v>
      </x:c>
    </x:row>
    <x:row r="7" ht="56" customHeight="1">
      <x:c r="A7" s="20" t="str">
        <x:v>R2-F02</x:v>
      </x:c>
      <x:c r="B7" s="30" t="str">
        <x:v>Release 2</x:v>
      </x:c>
      <x:c r="C7" s="30" t="str">
        <x:v>Tool record backfill</x:v>
      </x:c>
      <x:c r="D7" s="30" t="str">
        <x:v>Fill route/tool records for the initial priority systems.</x:v>
      </x:c>
      <x:c r="E7" s="30" t="str">
        <x:v>P0</x:v>
      </x:c>
      <x:c r="F7" s="30" t="str">
        <x:v>Not Started</x:v>
      </x:c>
      <x:c r="G7" s="30" t="str">
        <x:v>Backend + Research</x:v>
      </x:c>
      <x:c r="H7" s="36" t="n">
        <x:v>46281</x:v>
      </x:c>
      <x:c r="I7" s="36" t="n">
        <x:v>46292</x:v>
      </x:c>
      <x:c r="J7" s="30" t="str">
        <x:v>L</x:v>
      </x:c>
      <x:c r="K7" s="30" t="str">
        <x:v>R2-F01</x:v>
      </x:c>
      <x:c r="L7" s="30" t="str">
        <x:v>Backfill route records, source refs, contract refs, delivery formats, route caveats, and supported tool metadata.</x:v>
      </x:c>
      <x:c r="M7" s="30" t="str">
        <x:v>Priority systems return complete route metadata through API and MCP, with planned routes separated from live routes.</x:v>
      </x:c>
      <x:c r="N7" s="30" t="str">
        <x:v>QA Passed</x:v>
      </x:c>
      <x:c r="O7" s="21" t="str">
        <x:v>Start with Oregon DLCD, GEBCO, OSM/Protomaps, NOAA whale shapes, and fisheries context.</x:v>
      </x:c>
    </x:row>
    <x:row r="8" ht="56" customHeight="1">
      <x:c r="A8" s="20" t="str">
        <x:v>R2-F03</x:v>
      </x:c>
      <x:c r="B8" s="30" t="str">
        <x:v>Release 2</x:v>
      </x:c>
      <x:c r="C8" s="30" t="str">
        <x:v>Route validation checks</x:v>
      </x:c>
      <x:c r="D8" s="30" t="str">
        <x:v>Prevent stale or unusable operational routes.</x:v>
      </x:c>
      <x:c r="E8" s="30" t="str">
        <x:v>P1</x:v>
      </x:c>
      <x:c r="F8" s="30" t="str">
        <x:v>Not Started</x:v>
      </x:c>
      <x:c r="G8" s="30" t="str">
        <x:v>Backend</x:v>
      </x:c>
      <x:c r="H8" s="36" t="n">
        <x:v>46288</x:v>
      </x:c>
      <x:c r="I8" s="36" t="n">
        <x:v>46299</x:v>
      </x:c>
      <x:c r="J8" s="30" t="str">
        <x:v>M</x:v>
      </x:c>
      <x:c r="K8" s="30" t="str">
        <x:v>R2-F02</x:v>
      </x:c>
      <x:c r="L8" s="30" t="str">
        <x:v>Add lightweight checks for route target availability, contract existence, source refs, supported formats, and blocked/planned/live state.</x:v>
      </x:c>
      <x:c r="M8" s="30" t="str">
        <x:v>Validation output identifies broken URLs, missing contracts, missing source refs, and routes marked live without a successful check.</x:v>
      </x:c>
      <x:c r="N8" s="30" t="str">
        <x:v>Build Complete</x:v>
      </x:c>
      <x:c r="O8" s="21" t="str">
        <x:v>Can start as a script or CI check later.</x:v>
      </x:c>
    </x:row>
    <x:row r="9" ht="56" customHeight="1">
      <x:c r="A9" s="20" t="str">
        <x:v>R2-F04</x:v>
      </x:c>
      <x:c r="B9" s="30" t="str">
        <x:v>Release 2</x:v>
      </x:c>
      <x:c r="C9" s="30" t="str">
        <x:v>MCP portal hardening</x:v>
      </x:c>
      <x:c r="D9" s="30" t="str">
        <x:v>Make Ryu reliable as a discovery and routing portal.</x:v>
      </x:c>
      <x:c r="E9" s="30" t="str">
        <x:v>P0</x:v>
      </x:c>
      <x:c r="F9" s="30" t="str">
        <x:v>In Progress</x:v>
      </x:c>
      <x:c r="G9" s="30" t="str">
        <x:v>Backend</x:v>
      </x:c>
      <x:c r="H9" s="36" t="n">
        <x:v>46283</x:v>
      </x:c>
      <x:c r="I9" s="36" t="n">
        <x:v>46297</x:v>
      </x:c>
      <x:c r="J9" s="30" t="str">
        <x:v>M</x:v>
      </x:c>
      <x:c r="K9" s="30" t="str">
        <x:v>Existing list/search/get tools</x:v>
      </x:c>
      <x:c r="L9" s="30" t="str">
        <x:v>Confirm query parameters, route inclusion behavior, response schema, error handling, and example prompts for system discovery.</x:v>
      </x:c>
      <x:c r="M9" s="30" t="str">
        <x:v>list_systems, search_systems, and get_system pass smoke tests and return enough route/source/caveat metadata for Deeptime.</x:v>
      </x:c>
      <x:c r="N9" s="30" t="str">
        <x:v>QA Passed</x:v>
      </x:c>
      <x:c r="O9" s="21" t="str">
        <x:v>Existing implementation gives this a head start.</x:v>
      </x:c>
    </x:row>
    <x:row r="10" ht="56" customHeight="1">
      <x:c r="A10" s="20" t="str">
        <x:v>R3-F01</x:v>
      </x:c>
      <x:c r="B10" s="30" t="str">
        <x:v>Release 3</x:v>
      </x:c>
      <x:c r="C10" s="30" t="str">
        <x:v>Roadmap-quality filters</x:v>
      </x:c>
      <x:c r="D10" s="30" t="str">
        <x:v>Help reviewers find records and routes that need work.</x:v>
      </x:c>
      <x:c r="E10" s="30" t="str">
        <x:v>P1</x:v>
      </x:c>
      <x:c r="F10" s="30" t="str">
        <x:v>Not Started</x:v>
      </x:c>
      <x:c r="G10" s="30" t="str">
        <x:v>Frontend</x:v>
      </x:c>
      <x:c r="H10" s="36" t="n">
        <x:v>46302</x:v>
      </x:c>
      <x:c r="I10" s="36" t="n">
        <x:v>46311</x:v>
      </x:c>
      <x:c r="J10" s="30" t="str">
        <x:v>M</x:v>
      </x:c>
      <x:c r="K10" s="30" t="str">
        <x:v>Shared search state</x:v>
      </x:c>
      <x:c r="L10" s="30" t="str">
        <x:v>Add filters for record depth, review state, route status, route mode, capability, delivery format, and contract type.</x:v>
      </x:c>
      <x:c r="M10" s="30" t="str">
        <x:v>A reviewer can filter to thin agent-researched systems, live GeoJSON routes, or planned ArcGIS REST routes from the Systems panel.</x:v>
      </x:c>
      <x:c r="N10" s="30" t="str">
        <x:v>QA Passed</x:v>
      </x:c>
      <x:c r="O10" s="21" t="str">
        <x:v>Build on existing search/filter model.</x:v>
      </x:c>
    </x:row>
    <x:row r="11" ht="56" customHeight="1">
      <x:c r="A11" s="20" t="str">
        <x:v>R3-F02</x:v>
      </x:c>
      <x:c r="B11" s="30" t="str">
        <x:v>Release 3</x:v>
      </x:c>
      <x:c r="C11" s="30" t="str">
        <x:v>Search and graph alignment</x:v>
      </x:c>
      <x:c r="D11" s="30" t="str">
        <x:v>Make one search intent drive both Systems and graph visibility.</x:v>
      </x:c>
      <x:c r="E11" s="30" t="str">
        <x:v>P2</x:v>
      </x:c>
      <x:c r="F11" s="30" t="str">
        <x:v>Not Started</x:v>
      </x:c>
      <x:c r="G11" s="30" t="str">
        <x:v>Frontend</x:v>
      </x:c>
      <x:c r="H11" s="36" t="n">
        <x:v>46309</x:v>
      </x:c>
      <x:c r="I11" s="36" t="n">
        <x:v>46320</x:v>
      </x:c>
      <x:c r="J11" s="30" t="str">
        <x:v>L</x:v>
      </x:c>
      <x:c r="K11" s="30" t="str">
        <x:v>Search system plan</x:v>
      </x:c>
      <x:c r="L11" s="30" t="str">
        <x:v>Apply shared search state to graph projection, preserve necessary context nodes, and show match reasons consistently.</x:v>
      </x:c>
      <x:c r="M11" s="30" t="str">
        <x:v>Typing once filters both Systems and graph panes without breaking selection, saved views, or view modes.</x:v>
      </x:c>
      <x:c r="N11" s="30" t="str">
        <x:v>QA Passed</x:v>
      </x:c>
      <x:c r="O11" s="21" t="str">
        <x:v>Can be split if graph filtering gets complicated.</x:v>
      </x:c>
    </x:row>
    <x:row r="12" ht="56" customHeight="1">
      <x:c r="A12" s="20" t="str">
        <x:v>R3-F03</x:v>
      </x:c>
      <x:c r="B12" s="30" t="str">
        <x:v>Release 3</x:v>
      </x:c>
      <x:c r="C12" s="30" t="str">
        <x:v>Public read-only build</x:v>
      </x:c>
      <x:c r="D12" s="30" t="str">
        <x:v>Publish Ryu safely for external viewing.</x:v>
      </x:c>
      <x:c r="E12" s="30" t="str">
        <x:v>P0</x:v>
      </x:c>
      <x:c r="F12" s="30" t="str">
        <x:v>Ready</x:v>
      </x:c>
      <x:c r="G12" s="30" t="str">
        <x:v>DevOps</x:v>
      </x:c>
      <x:c r="H12" s="36" t="n">
        <x:v>46296</x:v>
      </x:c>
      <x:c r="I12" s="36" t="n">
        <x:v>46305</x:v>
      </x:c>
      <x:c r="J12" s="30" t="str">
        <x:v>M</x:v>
      </x:c>
      <x:c r="K12" s="30" t="str">
        <x:v>Existing publish script</x:v>
      </x:c>
      <x:c r="L12" s="30" t="str">
        <x:v>Verify sanitized bootstrap export, read-only behavior, production deploy script, smoke checks, and rollback notes.</x:v>
      </x:c>
      <x:c r="M12" s="30" t="str">
        <x:v>Public URL loads, bootstrap payload validates, local paths are removed, and publish steps are repeatable by another team member.</x:v>
      </x:c>
      <x:c r="N12" s="30" t="str">
        <x:v>Launched</x:v>
      </x:c>
      <x:c r="O12" s="21" t="str">
        <x:v>Consider static IP and HTTPS as separate infra tasks.</x:v>
      </x:c>
    </x:row>
    <x:row r="13" ht="56" customHeight="1">
      <x:c r="A13" s="22" t="str">
        <x:v>R3-F04</x:v>
      </x:c>
      <x:c r="B13" s="31" t="str">
        <x:v>Release 3</x:v>
      </x:c>
      <x:c r="C13" s="31" t="str">
        <x:v>Release checklist</x:v>
      </x:c>
      <x:c r="D13" s="31" t="str">
        <x:v>Create the team's accountable release process.</x:v>
      </x:c>
      <x:c r="E13" s="31" t="str">
        <x:v>P1</x:v>
      </x:c>
      <x:c r="F13" s="31" t="str">
        <x:v>Not Started</x:v>
      </x:c>
      <x:c r="G13" s="31" t="str">
        <x:v>Product + Engineering</x:v>
      </x:c>
      <x:c r="H13" s="37" t="n">
        <x:v>46300</x:v>
      </x:c>
      <x:c r="I13" s="37" t="n">
        <x:v>46307</x:v>
      </x:c>
      <x:c r="J13" s="31" t="str">
        <x:v>S</x:v>
      </x:c>
      <x:c r="K13" s="31" t="str">
        <x:v>Roadmap and deployment flow</x:v>
      </x:c>
      <x:c r="L13" s="31" t="str">
        <x:v>Define release gates, demo criteria, data review requirements, test evidence, deploy owner, and rollback owner.</x:v>
      </x:c>
      <x:c r="M13" s="31" t="str">
        <x:v>Every launch item has a named owner, acceptance evidence, release date, and sign-off state.</x:v>
      </x:c>
      <x:c r="N13" s="31" t="str">
        <x:v>Spec Approved</x:v>
      </x:c>
      <x:c r="O13" s="23" t="str">
        <x:v>This is what keeps roadmap rows from becoming wish-list rows.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4" hidden="0" customWidth="1"/>
    <x:col min="3" max="3" width="46" hidden="0" customWidth="1"/>
    <x:col min="4" max="4" width="25" hidden="0" customWidth="1"/>
    <x:col min="5" max="5" width="32" hidden="0" customWidth="1"/>
    <x:col min="6" max="6" width="38" hidden="0" customWidth="1"/>
    <x:col min="7" max="7" width="36" hidden="0" customWidth="1"/>
    <x:col min="8" max="8" width="34" hidden="0" customWidth="1"/>
  </x:cols>
  <x:sheetData>
    <x:row r="1">
      <x:c r="A1" s="10" t="str">
        <x:v>Release</x:v>
      </x:c>
      <x:c r="B1" s="25" t="str">
        <x:v>Theme</x:v>
      </x:c>
      <x:c r="C1" s="25" t="str">
        <x:v>Objective</x:v>
      </x:c>
      <x:c r="D1" s="25" t="str">
        <x:v>Target Window</x:v>
      </x:c>
      <x:c r="E1" s="25" t="str">
        <x:v>Entry Criteria</x:v>
      </x:c>
      <x:c r="F1" s="25" t="str">
        <x:v>Exit Criteria</x:v>
      </x:c>
      <x:c r="G1" s="25" t="str">
        <x:v>Primary Risks</x:v>
      </x:c>
      <x:c r="H1" s="11" t="str">
        <x:v>Demo</x:v>
      </x:c>
    </x:row>
    <x:row r="2" ht="58" customHeight="1">
      <x:c r="A2" s="18" t="str">
        <x:v>Release 1</x:v>
      </x:c>
      <x:c r="B2" s="29" t="str">
        <x:v>Reviewable records</x:v>
      </x:c>
      <x:c r="C2" s="29" t="str">
        <x:v>Make priority systems complete enough for internal review.</x:v>
      </x:c>
      <x:c r="D2" s="29" t="str">
        <x:v>2026-08-24 to 2026-09-13</x:v>
      </x:c>
      <x:c r="E2" s="29" t="str">
        <x:v>Priority list approved</x:v>
      </x:c>
      <x:c r="F2" s="29" t="str">
        <x:v>Rich records and audit-facing UI shipped</x:v>
      </x:c>
      <x:c r="G2" s="29" t="str">
        <x:v>Scope creep in record depth</x:v>
      </x:c>
      <x:c r="H2" s="19" t="str">
        <x:v>Walk through six source-backed systems</x:v>
      </x:c>
    </x:row>
    <x:row r="3" ht="58" customHeight="1">
      <x:c r="A3" s="20" t="str">
        <x:v>Release 2</x:v>
      </x:c>
      <x:c r="B3" s="30" t="str">
        <x:v>Usable route/tool records</x:v>
      </x:c>
      <x:c r="C3" s="30" t="str">
        <x:v>Make Ryu useful for system discovery and operational routing.</x:v>
      </x:c>
      <x:c r="D3" s="30" t="str">
        <x:v>2026-09-09 to 2026-10-04</x:v>
      </x:c>
      <x:c r="E3" s="30" t="str">
        <x:v>Tool record archetype accepted</x:v>
      </x:c>
      <x:c r="F3" s="30" t="str">
        <x:v>Priority route records work through API/MCP</x:v>
      </x:c>
      <x:c r="G3" s="30" t="str">
        <x:v>Ambiguous route status definitions</x:v>
      </x:c>
      <x:c r="H3" s="21" t="str">
        <x:v>Run Deeptime-style discovery prompt</x:v>
      </x:c>
    </x:row>
    <x:row r="4" ht="58" customHeight="1">
      <x:c r="A4" s="22" t="str">
        <x:v>Release 3</x:v>
      </x:c>
      <x:c r="B4" s="31" t="str">
        <x:v>Accountable operation</x:v>
      </x:c>
      <x:c r="C4" s="31" t="str">
        <x:v>Add filters, public hosting, and launch process.</x:v>
      </x:c>
      <x:c r="D4" s="31" t="str">
        <x:v>2026-10-01 to 2026-10-25</x:v>
      </x:c>
      <x:c r="E4" s="31" t="str">
        <x:v>Release 1/2 data quality accepted</x:v>
      </x:c>
      <x:c r="F4" s="31" t="str">
        <x:v>Public read-only build and release checklist complete</x:v>
      </x:c>
      <x:c r="G4" s="31" t="str">
        <x:v>Deployment ownership unclear</x:v>
      </x:c>
      <x:c r="H4" s="23" t="str">
        <x:v>Open public build and filter live routes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54" hidden="0" customWidth="1"/>
    <x:col min="4" max="4" width="48" hidden="0" customWidth="1"/>
    <x:col min="5" max="5" width="34" hidden="0" customWidth="1"/>
    <x:col min="6" max="6" width="18" hidden="0" customWidth="1"/>
  </x:cols>
  <x:sheetData>
    <x:row r="1">
      <x:c r="A1" s="10" t="str">
        <x:v>Feature ID</x:v>
      </x:c>
      <x:c r="B1" s="25" t="str">
        <x:v>Feature</x:v>
      </x:c>
      <x:c r="C1" s="25" t="str">
        <x:v>Functional Acceptance</x:v>
      </x:c>
      <x:c r="D1" s="25" t="str">
        <x:v>UX / Workflow Acceptance</x:v>
      </x:c>
      <x:c r="E1" s="25" t="str">
        <x:v>Dependency Evidence</x:v>
      </x:c>
      <x:c r="F1" s="11" t="str">
        <x:v>Release Gate</x:v>
      </x:c>
    </x:row>
    <x:row r="2" ht="54" customHeight="1">
      <x:c r="A2" s="18" t="str">
        <x:v>R1-F01</x:v>
      </x:c>
      <x:c r="B2" s="29" t="str">
        <x:v>Record backlog triage</x:v>
      </x:c>
      <x:c r="C2" s="29" t="str">
        <x:v>Priority list is approved, each selected record has an owner and target review state, and deferred records are explicitly marked.</x:v>
      </x:c>
      <x:c r="D2" s="29" t="str">
        <x:v>Representative user path is verified manually and no critical UI copy is hidden or clipped.</x:v>
      </x:c>
      <x:c r="E2" s="29" t="str">
        <x:v>Depends on Existing Ryu DB</x:v>
      </x:c>
      <x:c r="F2" s="19" t="str">
        <x:v>Spec Approved</x:v>
      </x:c>
    </x:row>
    <x:row r="3" ht="54" customHeight="1">
      <x:c r="A3" s="20" t="str">
        <x:v>R1-F02</x:v>
      </x:c>
      <x:c r="B3" s="30" t="str">
        <x:v>Rich record backfill</x:v>
      </x:c>
      <x:c r="C3" s="30" t="str">
        <x:v>At least six priority systems have source-backed rich records and no unresolved source refs in visible user-facing fields.</x:v>
      </x:c>
      <x:c r="D3" s="30" t="str">
        <x:v>Representative user path is verified manually and no critical UI copy is hidden or clipped.</x:v>
      </x:c>
      <x:c r="E3" s="30" t="str">
        <x:v>Depends on R1-F01</x:v>
      </x:c>
      <x:c r="F3" s="21" t="str">
        <x:v>QA Passed</x:v>
      </x:c>
    </x:row>
    <x:row r="4" ht="54" customHeight="1">
      <x:c r="A4" s="20" t="str">
        <x:v>R1-F03</x:v>
      </x:c>
      <x:c r="B4" s="30" t="str">
        <x:v>Data record visibility</x:v>
      </x:c>
      <x:c r="C4" s="30" t="str">
        <x:v>Reviewer can verify every visible data type, format, and standard without opening raw fields.</x:v>
      </x:c>
      <x:c r="D4" s="30" t="str">
        <x:v>Representative user path is verified manually and no critical UI copy is hidden or clipped.</x:v>
      </x:c>
      <x:c r="E4" s="30" t="str">
        <x:v>Depends on Data descriptors already exist</x:v>
      </x:c>
      <x:c r="F4" s="21" t="str">
        <x:v>QA Passed</x:v>
      </x:c>
    </x:row>
    <x:row r="5" ht="54" customHeight="1">
      <x:c r="A5" s="20" t="str">
        <x:v>R1-F04</x:v>
      </x:c>
      <x:c r="B5" s="30" t="str">
        <x:v>Review trail surface</x:v>
      </x:c>
      <x:c r="C5" s="30" t="str">
        <x:v>Reviewer can tell whether a record is agent-researched, human-reviewed, stale, or needs revision from User View.</x:v>
      </x:c>
      <x:c r="D5" s="30" t="str">
        <x:v>Representative user path is verified manually and no critical UI copy is hidden or clipped.</x:v>
      </x:c>
      <x:c r="E5" s="30" t="str">
        <x:v>Depends on Review metadata</x:v>
      </x:c>
      <x:c r="F5" s="21" t="str">
        <x:v>QA Passed</x:v>
      </x:c>
    </x:row>
    <x:row r="6" ht="54" customHeight="1">
      <x:c r="A6" s="20" t="str">
        <x:v>R2-F01</x:v>
      </x:c>
      <x:c r="B6" s="30" t="str">
        <x:v>Tool record archetype</x:v>
      </x:c>
      <x:c r="C6" s="30" t="str">
        <x:v>One exemplar route record is complete, documented, source-backed, and accepted as the template for future route records.</x:v>
      </x:c>
      <x:c r="D6" s="30" t="str">
        <x:v>Representative user path is verified manually and no critical UI copy is hidden or clipped.</x:v>
      </x:c>
      <x:c r="E6" s="30" t="str">
        <x:v>Depends on Current RyuRoute and RyuPortalRoute types</x:v>
      </x:c>
      <x:c r="F6" s="21" t="str">
        <x:v>Spec Approved</x:v>
      </x:c>
    </x:row>
    <x:row r="7" ht="54" customHeight="1">
      <x:c r="A7" s="20" t="str">
        <x:v>R2-F02</x:v>
      </x:c>
      <x:c r="B7" s="30" t="str">
        <x:v>Tool record backfill</x:v>
      </x:c>
      <x:c r="C7" s="30" t="str">
        <x:v>Priority systems return complete route metadata through API and MCP, with planned routes separated from live routes.</x:v>
      </x:c>
      <x:c r="D7" s="30" t="str">
        <x:v>Representative user path is verified manually and no critical UI copy is hidden or clipped.</x:v>
      </x:c>
      <x:c r="E7" s="30" t="str">
        <x:v>Depends on R2-F01</x:v>
      </x:c>
      <x:c r="F7" s="21" t="str">
        <x:v>QA Passed</x:v>
      </x:c>
    </x:row>
    <x:row r="8" ht="54" customHeight="1">
      <x:c r="A8" s="20" t="str">
        <x:v>R2-F03</x:v>
      </x:c>
      <x:c r="B8" s="30" t="str">
        <x:v>Route validation checks</x:v>
      </x:c>
      <x:c r="C8" s="30" t="str">
        <x:v>Validation output identifies broken URLs, missing contracts, missing source refs, and routes marked live without a successful check.</x:v>
      </x:c>
      <x:c r="D8" s="30" t="str">
        <x:v>Representative user path is verified manually and no critical UI copy is hidden or clipped.</x:v>
      </x:c>
      <x:c r="E8" s="30" t="str">
        <x:v>Depends on R2-F02</x:v>
      </x:c>
      <x:c r="F8" s="21" t="str">
        <x:v>Build Complete</x:v>
      </x:c>
    </x:row>
    <x:row r="9" ht="54" customHeight="1">
      <x:c r="A9" s="20" t="str">
        <x:v>R2-F04</x:v>
      </x:c>
      <x:c r="B9" s="30" t="str">
        <x:v>MCP portal hardening</x:v>
      </x:c>
      <x:c r="C9" s="30" t="str">
        <x:v>list_systems, search_systems, and get_system pass smoke tests and return enough route/source/caveat metadata for Deeptime.</x:v>
      </x:c>
      <x:c r="D9" s="30" t="str">
        <x:v>Representative user path is verified manually and no critical UI copy is hidden or clipped.</x:v>
      </x:c>
      <x:c r="E9" s="30" t="str">
        <x:v>Depends on Existing list/search/get tools</x:v>
      </x:c>
      <x:c r="F9" s="21" t="str">
        <x:v>QA Passed</x:v>
      </x:c>
    </x:row>
    <x:row r="10" ht="54" customHeight="1">
      <x:c r="A10" s="20" t="str">
        <x:v>R3-F01</x:v>
      </x:c>
      <x:c r="B10" s="30" t="str">
        <x:v>Roadmap-quality filters</x:v>
      </x:c>
      <x:c r="C10" s="30" t="str">
        <x:v>A reviewer can filter to thin agent-researched systems, live GeoJSON routes, or planned ArcGIS REST routes from the Systems panel.</x:v>
      </x:c>
      <x:c r="D10" s="30" t="str">
        <x:v>Representative user path is verified manually and no critical UI copy is hidden or clipped.</x:v>
      </x:c>
      <x:c r="E10" s="30" t="str">
        <x:v>Depends on Shared search state</x:v>
      </x:c>
      <x:c r="F10" s="21" t="str">
        <x:v>QA Passed</x:v>
      </x:c>
    </x:row>
    <x:row r="11" ht="54" customHeight="1">
      <x:c r="A11" s="20" t="str">
        <x:v>R3-F02</x:v>
      </x:c>
      <x:c r="B11" s="30" t="str">
        <x:v>Search and graph alignment</x:v>
      </x:c>
      <x:c r="C11" s="30" t="str">
        <x:v>Typing once filters both Systems and graph panes without breaking selection, saved views, or view modes.</x:v>
      </x:c>
      <x:c r="D11" s="30" t="str">
        <x:v>Representative user path is verified manually and no critical UI copy is hidden or clipped.</x:v>
      </x:c>
      <x:c r="E11" s="30" t="str">
        <x:v>Depends on Search system plan</x:v>
      </x:c>
      <x:c r="F11" s="21" t="str">
        <x:v>QA Passed</x:v>
      </x:c>
    </x:row>
    <x:row r="12" ht="54" customHeight="1">
      <x:c r="A12" s="20" t="str">
        <x:v>R3-F03</x:v>
      </x:c>
      <x:c r="B12" s="30" t="str">
        <x:v>Public read-only build</x:v>
      </x:c>
      <x:c r="C12" s="30" t="str">
        <x:v>Public URL loads, bootstrap payload validates, local paths are removed, and publish steps are repeatable by another team member.</x:v>
      </x:c>
      <x:c r="D12" s="30" t="str">
        <x:v>Representative user path is verified manually and no critical UI copy is hidden or clipped.</x:v>
      </x:c>
      <x:c r="E12" s="30" t="str">
        <x:v>Depends on Existing publish script</x:v>
      </x:c>
      <x:c r="F12" s="21" t="str">
        <x:v>Launched</x:v>
      </x:c>
    </x:row>
    <x:row r="13" ht="54" customHeight="1">
      <x:c r="A13" s="22" t="str">
        <x:v>R3-F04</x:v>
      </x:c>
      <x:c r="B13" s="31" t="str">
        <x:v>Release checklist</x:v>
      </x:c>
      <x:c r="C13" s="31" t="str">
        <x:v>Every launch item has a named owner, acceptance evidence, release date, and sign-off state.</x:v>
      </x:c>
      <x:c r="D13" s="31" t="str">
        <x:v>Representative user path is verified manually and no critical UI copy is hidden or clipped.</x:v>
      </x:c>
      <x:c r="E13" s="31" t="str">
        <x:v>Depends on Roadmap and deployment flow</x:v>
      </x:c>
      <x:c r="F13" s="23" t="str">
        <x:v>Spec Approved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42" hidden="0" customWidth="1"/>
    <x:col min="4" max="4" width="18" hidden="0" customWidth="1"/>
    <x:col min="5" max="5" width="20" hidden="0" customWidth="1"/>
    <x:col min="6" max="6" width="50" hidden="0" customWidth="1"/>
    <x:col min="7" max="7" width="14" hidden="0" customWidth="1"/>
  </x:cols>
  <x:sheetData>
    <x:row r="1">
      <x:c r="A1" s="10" t="str">
        <x:v>Type</x:v>
      </x:c>
      <x:c r="B1" s="25" t="str">
        <x:v>Item</x:v>
      </x:c>
      <x:c r="C1" s="25" t="str">
        <x:v>Impact</x:v>
      </x:c>
      <x:c r="D1" s="25" t="str">
        <x:v>Owner</x:v>
      </x:c>
      <x:c r="E1" s="25" t="str">
        <x:v>Decision Needed By</x:v>
      </x:c>
      <x:c r="F1" s="25" t="str">
        <x:v>Resolution Path</x:v>
      </x:c>
      <x:c r="G1" s="11" t="str">
        <x:v>Status</x:v>
      </x:c>
    </x:row>
    <x:row r="2" ht="52" customHeight="1">
      <x:c r="A2" s="18" t="str">
        <x:v>Decision</x:v>
      </x:c>
      <x:c r="B2" s="29" t="str">
        <x:v>Meaning of tool record</x:v>
      </x:c>
      <x:c r="C2" s="29" t="str">
        <x:v>Wrong model could create duplicate concepts.</x:v>
      </x:c>
      <x:c r="D2" s="29" t="str">
        <x:v>Product</x:v>
      </x:c>
      <x:c r="E2" s="35" t="n">
        <x:v>46274</x:v>
      </x:c>
      <x:c r="F2" s="29" t="str">
        <x:v>Decide route metadata versus separate tool entity before implementation.</x:v>
      </x:c>
      <x:c r="G2" s="19" t="str">
        <x:v>Open</x:v>
      </x:c>
    </x:row>
    <x:row r="3" ht="52" customHeight="1">
      <x:c r="A3" s="20" t="str">
        <x:v>Risk</x:v>
      </x:c>
      <x:c r="B3" s="30" t="str">
        <x:v>Record scope expansion</x:v>
      </x:c>
      <x:c r="C3" s="30" t="str">
        <x:v>Research work can grow faster than engineering capacity.</x:v>
      </x:c>
      <x:c r="D3" s="30" t="str">
        <x:v>Product</x:v>
      </x:c>
      <x:c r="E3" s="36" t="n">
        <x:v>46262</x:v>
      </x:c>
      <x:c r="F3" s="30" t="str">
        <x:v>Cap Release 1 to named priority systems and defer the rest.</x:v>
      </x:c>
      <x:c r="G3" s="21" t="str">
        <x:v>Open</x:v>
      </x:c>
    </x:row>
    <x:row r="4" ht="52" customHeight="1">
      <x:c r="A4" s="20" t="str">
        <x:v>Risk</x:v>
      </x:c>
      <x:c r="B4" s="30" t="str">
        <x:v>Route status inconsistency</x:v>
      </x:c>
      <x:c r="C4" s="30" t="str">
        <x:v>Clients may call planned or broken routes.</x:v>
      </x:c>
      <x:c r="D4" s="30" t="str">
        <x:v>Backend</x:v>
      </x:c>
      <x:c r="E4" s="36" t="n">
        <x:v>46285</x:v>
      </x:c>
      <x:c r="F4" s="30" t="str">
        <x:v>Define status meanings and add route validation checks.</x:v>
      </x:c>
      <x:c r="G4" s="21" t="str">
        <x:v>Open</x:v>
      </x:c>
    </x:row>
    <x:row r="5" ht="52" customHeight="1">
      <x:c r="A5" s="20" t="str">
        <x:v>Dependency</x:v>
      </x:c>
      <x:c r="B5" s="30" t="str">
        <x:v>Public hosting credentials</x:v>
      </x:c>
      <x:c r="C5" s="30" t="str">
        <x:v>Deploy process may rely on one person's local key.</x:v>
      </x:c>
      <x:c r="D5" s="30" t="str">
        <x:v>DevOps</x:v>
      </x:c>
      <x:c r="E5" s="36" t="n">
        <x:v>46296</x:v>
      </x:c>
      <x:c r="F5" s="30" t="str">
        <x:v>Document deploy access, rollback path, and backup owner.</x:v>
      </x:c>
      <x:c r="G5" s="21" t="str">
        <x:v>Open</x:v>
      </x:c>
    </x:row>
    <x:row r="6" ht="52" customHeight="1">
      <x:c r="A6" s="22" t="str">
        <x:v>Risk</x:v>
      </x:c>
      <x:c r="B6" s="31" t="str">
        <x:v>Search relevance drift</x:v>
      </x:c>
      <x:c r="C6" s="31" t="str">
        <x:v>Source/provenance text could swamp identity fields.</x:v>
      </x:c>
      <x:c r="D6" s="31" t="str">
        <x:v>Frontend</x:v>
      </x:c>
      <x:c r="E6" s="37" t="n">
        <x:v>46309</x:v>
      </x:c>
      <x:c r="F6" s="31" t="str">
        <x:v>Keep weighted field definitions and visible match reasons.</x:v>
      </x:c>
      <x:c r="G6" s="23" t="str">
        <x:v>Watch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70" hidden="0" customWidth="1"/>
  </x:cols>
  <x:sheetData>
    <x:row r="1">
      <x:c r="A1" s="10" t="str">
        <x:v>Category</x:v>
      </x:c>
      <x:c r="B1" s="25" t="str">
        <x:v>Value</x:v>
      </x:c>
      <x:c r="C1" s="11" t="str">
        <x:v>Meaning</x:v>
      </x:c>
    </x:row>
    <x:row r="2">
      <x:c r="A2" s="18" t="str">
        <x:v>Status</x:v>
      </x:c>
      <x:c r="B2" s="29" t="str">
        <x:v>Not Started</x:v>
      </x:c>
      <x:c r="C2" s="19" t="str">
        <x:v>Accepted into roadmap, no active work yet.</x:v>
      </x:c>
    </x:row>
    <x:row r="3">
      <x:c r="A3" s="20" t="str">
        <x:v>Status</x:v>
      </x:c>
      <x:c r="B3" s="30" t="str">
        <x:v>Ready</x:v>
      </x:c>
      <x:c r="C3" s="21" t="str">
        <x:v>Scoped enough for implementation or research work to begin.</x:v>
      </x:c>
    </x:row>
    <x:row r="4">
      <x:c r="A4" s="20" t="str">
        <x:v>Status</x:v>
      </x:c>
      <x:c r="B4" s="30" t="str">
        <x:v>In Progress</x:v>
      </x:c>
      <x:c r="C4" s="21" t="str">
        <x:v>Owner is actively working the item.</x:v>
      </x:c>
    </x:row>
    <x:row r="5">
      <x:c r="A5" s="20" t="str">
        <x:v>Status</x:v>
      </x:c>
      <x:c r="B5" s="30" t="str">
        <x:v>Blocked</x:v>
      </x:c>
      <x:c r="C5" s="21" t="str">
        <x:v>Cannot progress without a named decision, dependency, or access fix.</x:v>
      </x:c>
    </x:row>
    <x:row r="6">
      <x:c r="A6" s="20" t="str">
        <x:v>Status</x:v>
      </x:c>
      <x:c r="B6" s="30" t="str">
        <x:v>Done</x:v>
      </x:c>
      <x:c r="C6" s="21" t="str">
        <x:v>Acceptance criteria are met and evidence is linked or documented.</x:v>
      </x:c>
    </x:row>
    <x:row r="7">
      <x:c r="A7" s="20" t="str">
        <x:v>Priority</x:v>
      </x:c>
      <x:c r="B7" s="30" t="str">
        <x:v>P0</x:v>
      </x:c>
      <x:c r="C7" s="21" t="str">
        <x:v>Release-blocking for the current internal milestone.</x:v>
      </x:c>
    </x:row>
    <x:row r="8">
      <x:c r="A8" s="20" t="str">
        <x:v>Priority</x:v>
      </x:c>
      <x:c r="B8" s="30" t="str">
        <x:v>P1</x:v>
      </x:c>
      <x:c r="C8" s="21" t="str">
        <x:v>Important for launch quality, but not always a release blocker.</x:v>
      </x:c>
    </x:row>
    <x:row r="9">
      <x:c r="A9" s="20" t="str">
        <x:v>Priority</x:v>
      </x:c>
      <x:c r="B9" s="30" t="str">
        <x:v>P2</x:v>
      </x:c>
      <x:c r="C9" s="21" t="str">
        <x:v>Useful enhancement that can move if the release is at risk.</x:v>
      </x:c>
    </x:row>
    <x:row r="10">
      <x:c r="A10" s="20" t="str">
        <x:v>Priority</x:v>
      </x:c>
      <x:c r="B10" s="30" t="str">
        <x:v>P3</x:v>
      </x:c>
      <x:c r="C10" s="21" t="str">
        <x:v>Backlog item or polish.</x:v>
      </x:c>
    </x:row>
    <x:row r="11">
      <x:c r="A11" s="20" t="str">
        <x:v>Effort</x:v>
      </x:c>
      <x:c r="B11" s="30" t="str">
        <x:v>XS</x:v>
      </x:c>
      <x:c r="C11" s="21" t="str">
        <x:v>Less than one day.</x:v>
      </x:c>
    </x:row>
    <x:row r="12">
      <x:c r="A12" s="20" t="str">
        <x:v>Effort</x:v>
      </x:c>
      <x:c r="B12" s="30" t="str">
        <x:v>S</x:v>
      </x:c>
      <x:c r="C12" s="21" t="str">
        <x:v>One to two days.</x:v>
      </x:c>
    </x:row>
    <x:row r="13">
      <x:c r="A13" s="20" t="str">
        <x:v>Effort</x:v>
      </x:c>
      <x:c r="B13" s="30" t="str">
        <x:v>M</x:v>
      </x:c>
      <x:c r="C13" s="21" t="str">
        <x:v>Three to five days.</x:v>
      </x:c>
    </x:row>
    <x:row r="14">
      <x:c r="A14" s="20" t="str">
        <x:v>Effort</x:v>
      </x:c>
      <x:c r="B14" s="30" t="str">
        <x:v>L</x:v>
      </x:c>
      <x:c r="C14" s="21" t="str">
        <x:v>One to two weeks.</x:v>
      </x:c>
    </x:row>
    <x:row r="15">
      <x:c r="A15" s="20" t="str">
        <x:v>Effort</x:v>
      </x:c>
      <x:c r="B15" s="30" t="str">
        <x:v>XL</x:v>
      </x:c>
      <x:c r="C15" s="21" t="str">
        <x:v>Needs further breakdown before commitment.</x:v>
      </x:c>
    </x:row>
    <x:row r="16">
      <x:c r="A16" s="20" t="str">
        <x:v>Gate</x:v>
      </x:c>
      <x:c r="B16" s="30" t="str">
        <x:v>Discovery</x:v>
      </x:c>
      <x:c r="C16" s="21" t="str">
        <x:v>Problem understood but scope is not committed.</x:v>
      </x:c>
    </x:row>
    <x:row r="17">
      <x:c r="A17" s="20" t="str">
        <x:v>Gate</x:v>
      </x:c>
      <x:c r="B17" s="30" t="str">
        <x:v>Spec Approved</x:v>
      </x:c>
      <x:c r="C17" s="21" t="str">
        <x:v>Scope, owner, and acceptance criteria are agreed.</x:v>
      </x:c>
    </x:row>
    <x:row r="18">
      <x:c r="A18" s="20" t="str">
        <x:v>Gate</x:v>
      </x:c>
      <x:c r="B18" s="30" t="str">
        <x:v>Build Complete</x:v>
      </x:c>
      <x:c r="C18" s="21" t="str">
        <x:v>Implementation is complete and ready for QA/review.</x:v>
      </x:c>
    </x:row>
    <x:row r="19">
      <x:c r="A19" s="20" t="str">
        <x:v>Gate</x:v>
      </x:c>
      <x:c r="B19" s="30" t="str">
        <x:v>QA Passed</x:v>
      </x:c>
      <x:c r="C19" s="21" t="str">
        <x:v>Acceptance evidence exists and no launch blockers remain.</x:v>
      </x:c>
    </x:row>
    <x:row r="20">
      <x:c r="A20" s="22" t="str">
        <x:v>Gate</x:v>
      </x:c>
      <x:c r="B20" s="31" t="str">
        <x:v>Launched</x:v>
      </x:c>
      <x:c r="C20" s="23" t="str">
        <x:v>Released to the intended audience.</x:v>
      </x:c>
    </x:row>
  </x:sheetData>
  <x:pageMargins left="0.7" right="0.7" top="0.75" bottom="0.75" header="0.3" footer="0.3"/>
</x:worksheet>
</file>